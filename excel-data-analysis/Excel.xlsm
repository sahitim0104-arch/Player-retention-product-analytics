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DELL\Desktop\"/>
    </mc:Choice>
  </mc:AlternateContent>
  <xr:revisionPtr revIDLastSave="0" documentId="8_{B910DEA3-B849-4544-8F92-F73D2E8A1858}" xr6:coauthVersionLast="47" xr6:coauthVersionMax="47" xr10:uidLastSave="{00000000-0000-0000-0000-000000000000}"/>
  <bookViews>
    <workbookView xWindow="-110" yWindow="-110" windowWidth="19420" windowHeight="11500" xr2:uid="{4F00B304-EB6E-49E1-99C2-350E8B8DDCEC}"/>
  </bookViews>
  <sheets>
    <sheet name="Data validation,Sort,Macros etc" sheetId="1" r:id="rId1"/>
    <sheet name="Pivot table&amp;charts, slicers etc" sheetId="2" r:id="rId2"/>
  </sheets>
  <definedNames>
    <definedName name="Slicer_Department">#N/A</definedName>
    <definedName name="Slicer_Performance">#N/A</definedName>
  </definedNames>
  <calcPr calcId="191029"/>
  <pivotCaches>
    <pivotCache cacheId="4" r:id="rId3"/>
  </pivotCaches>
  <extLst>
    <ext xmlns:x14="http://schemas.microsoft.com/office/spreadsheetml/2009/9/main" uri="{BBE1A952-AA13-448e-AADC-164F8A28A991}">
      <x14:slicerCaches>
        <x14:slicerCache r:id="rId4"/>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K14" i="1" l="1"/>
  <c r="K15" i="1"/>
  <c r="K13" i="1"/>
  <c r="G3" i="1"/>
  <c r="G4" i="1"/>
  <c r="G5" i="1"/>
  <c r="G6" i="1"/>
  <c r="G7" i="1"/>
  <c r="G8" i="1"/>
  <c r="G9" i="1"/>
  <c r="G10" i="1"/>
  <c r="G11" i="1"/>
  <c r="G12" i="1"/>
  <c r="K5" i="1"/>
  <c r="K4" i="1"/>
</calcChain>
</file>

<file path=xl/sharedStrings.xml><?xml version="1.0" encoding="utf-8"?>
<sst xmlns="http://schemas.openxmlformats.org/spreadsheetml/2006/main" count="54" uniqueCount="33">
  <si>
    <t>Emp ID</t>
  </si>
  <si>
    <t>Name</t>
  </si>
  <si>
    <t>Department</t>
  </si>
  <si>
    <t>Salary</t>
  </si>
  <si>
    <t>Performance</t>
  </si>
  <si>
    <t>Aarav Sharma</t>
  </si>
  <si>
    <t>Finance</t>
  </si>
  <si>
    <t>High</t>
  </si>
  <si>
    <t>Diya Rao</t>
  </si>
  <si>
    <t>HR</t>
  </si>
  <si>
    <t>Medium</t>
  </si>
  <si>
    <t>Rohan Mehta</t>
  </si>
  <si>
    <t>Marketing</t>
  </si>
  <si>
    <t>Ananya Singh</t>
  </si>
  <si>
    <t>Kabir Patel</t>
  </si>
  <si>
    <t>IT</t>
  </si>
  <si>
    <t>Ishita Nair</t>
  </si>
  <si>
    <t>Low</t>
  </si>
  <si>
    <t>Arjun Verma</t>
  </si>
  <si>
    <t>Meera Iyer</t>
  </si>
  <si>
    <t>Vivaan Kapoor</t>
  </si>
  <si>
    <t>Sana Khan</t>
  </si>
  <si>
    <t>Experience(Years)</t>
  </si>
  <si>
    <t>Average salary</t>
  </si>
  <si>
    <t>Maximum salary</t>
  </si>
  <si>
    <t>Salary Class</t>
  </si>
  <si>
    <t>EMPLOYEE DATA ANALYSIS</t>
  </si>
  <si>
    <t>Row Labels</t>
  </si>
  <si>
    <t>Grand Total</t>
  </si>
  <si>
    <t>Average of Salary</t>
  </si>
  <si>
    <t>Count of Emp ID</t>
  </si>
  <si>
    <t>No of Employees</t>
  </si>
  <si>
    <t>Employee Performance Distribution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</si>
</sst>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7" formatCode="_ [$₹-4009]\ * #,##0.00_ ;_ [$₹-4009]\ * \-#,##0.00_ ;_ [$₹-4009]\ * &quot;-&quot;??_ ;_ @_ "/>
  </numFmts>
  <fonts count="7" x14ac:knownFonts="1">
    <font>
      <sz val="11"/>
      <color theme="1"/>
      <name val="Aptos Narrow"/>
      <family val="2"/>
      <scheme val="minor"/>
    </font>
    <font>
      <b/>
      <sz val="11"/>
      <color theme="1"/>
      <name val="Aptos Narrow"/>
      <family val="2"/>
      <scheme val="minor"/>
    </font>
    <font>
      <sz val="11"/>
      <color rgb="FF000000"/>
      <name val="Calibri"/>
      <family val="2"/>
    </font>
    <font>
      <b/>
      <u/>
      <sz val="18"/>
      <color theme="1"/>
      <name val="Aptos Narrow"/>
      <family val="2"/>
      <scheme val="minor"/>
    </font>
    <font>
      <u/>
      <sz val="11"/>
      <color theme="1"/>
      <name val="Aptos Narrow"/>
      <family val="2"/>
      <scheme val="minor"/>
    </font>
    <font>
      <b/>
      <sz val="14"/>
      <color theme="3"/>
      <name val="Times New Roman"/>
      <family val="1"/>
    </font>
    <font>
      <sz val="14"/>
      <color theme="3"/>
      <name val="Times New Roman"/>
      <family val="1"/>
    </font>
  </fonts>
  <fills count="4">
    <fill>
      <patternFill patternType="none"/>
    </fill>
    <fill>
      <patternFill patternType="gray125"/>
    </fill>
    <fill>
      <patternFill patternType="solid">
        <fgColor theme="4" tint="0.79998168889431442"/>
        <bgColor indexed="64"/>
      </patternFill>
    </fill>
    <fill>
      <patternFill patternType="solid">
        <fgColor theme="4" tint="0.79995117038483843"/>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2" fillId="0" borderId="0" xfId="0" applyFont="1"/>
    <xf numFmtId="1" fontId="2" fillId="0" borderId="0" xfId="0" applyNumberFormat="1" applyFont="1"/>
    <xf numFmtId="167" fontId="2" fillId="0" borderId="0" xfId="0" applyNumberFormat="1" applyFont="1"/>
    <xf numFmtId="0" fontId="0" fillId="0" borderId="0" xfId="0" applyAlignment="1">
      <alignment horizontal="center"/>
    </xf>
    <xf numFmtId="0" fontId="4" fillId="0" borderId="0" xfId="0" applyFont="1" applyAlignment="1">
      <alignment horizontal="center"/>
    </xf>
    <xf numFmtId="0" fontId="3" fillId="0" borderId="0" xfId="0" applyFont="1" applyAlignment="1">
      <alignment horizontal="center"/>
    </xf>
    <xf numFmtId="0" fontId="0" fillId="0" borderId="0" xfId="0" pivotButton="1"/>
    <xf numFmtId="0" fontId="0" fillId="0" borderId="0" xfId="0" applyAlignment="1">
      <alignment horizontal="left"/>
    </xf>
    <xf numFmtId="167" fontId="0" fillId="0" borderId="0" xfId="0" applyNumberFormat="1"/>
    <xf numFmtId="0" fontId="0" fillId="0" borderId="0" xfId="0" applyNumberFormat="1"/>
    <xf numFmtId="0" fontId="1" fillId="0" borderId="0" xfId="0" applyFont="1" applyAlignment="1">
      <alignment horizontal="center"/>
    </xf>
    <xf numFmtId="0" fontId="5" fillId="2" borderId="0" xfId="0" applyFont="1" applyFill="1"/>
    <xf numFmtId="0" fontId="6" fillId="2" borderId="0" xfId="0" applyFont="1" applyFill="1"/>
    <xf numFmtId="167" fontId="6" fillId="2" borderId="0" xfId="0" applyNumberFormat="1" applyFont="1" applyFill="1"/>
    <xf numFmtId="0" fontId="6" fillId="3" borderId="0" xfId="0" applyFont="1" applyFill="1"/>
    <xf numFmtId="1" fontId="6" fillId="3" borderId="0" xfId="0" applyNumberFormat="1" applyFont="1" applyFill="1"/>
    <xf numFmtId="167" fontId="6" fillId="3" borderId="0" xfId="0" applyNumberFormat="1" applyFont="1" applyFill="1"/>
  </cellXfs>
  <cellStyles count="1">
    <cellStyle name="Normal" xfId="0" builtinId="0"/>
  </cellStyles>
  <dxfs count="9">
    <dxf>
      <font>
        <b/>
        <i val="0"/>
        <strike val="0"/>
        <condense val="0"/>
        <extend val="0"/>
        <outline val="0"/>
        <shadow val="0"/>
        <u val="none"/>
        <vertAlign val="baseline"/>
        <sz val="14"/>
        <color theme="3"/>
        <name val="Times New Roman"/>
        <family val="1"/>
        <scheme val="none"/>
      </font>
      <fill>
        <patternFill patternType="solid">
          <fgColor indexed="64"/>
          <bgColor theme="4" tint="0.79998168889431442"/>
        </patternFill>
      </fill>
    </dxf>
    <dxf>
      <font>
        <b val="0"/>
        <i val="0"/>
        <strike val="0"/>
        <condense val="0"/>
        <extend val="0"/>
        <outline val="0"/>
        <shadow val="0"/>
        <u val="none"/>
        <vertAlign val="baseline"/>
        <sz val="11"/>
        <color rgb="FF000000"/>
        <name val="Calibri"/>
        <family val="2"/>
        <scheme val="none"/>
      </font>
      <numFmt numFmtId="0" formatCode="General"/>
    </dxf>
    <dxf>
      <font>
        <b val="0"/>
        <i val="0"/>
        <strike val="0"/>
        <condense val="0"/>
        <extend val="0"/>
        <outline val="0"/>
        <shadow val="0"/>
        <u val="none"/>
        <vertAlign val="baseline"/>
        <sz val="11"/>
        <color rgb="FF000000"/>
        <name val="Calibri"/>
        <family val="2"/>
        <scheme val="none"/>
      </font>
      <numFmt numFmtId="167" formatCode="_ [$₹-4009]\ * #,##0.00_ ;_ [$₹-4009]\ * \-#,##0.00_ ;_ [$₹-4009]\ * &quot;-&quot;??_ ;_ @_ "/>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numFmt numFmtId="1" formatCode="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2.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Employee</a:t>
            </a:r>
            <a:r>
              <a:rPr lang="en-IN" baseline="0"/>
              <a:t> Performance Distribution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'Data validation,Sort,Macros etc'!$K$12</c:f>
              <c:strCache>
                <c:ptCount val="1"/>
                <c:pt idx="0">
                  <c:v>No of Employees</c:v>
                </c:pt>
              </c:strCache>
            </c:strRef>
          </c:tx>
          <c:spPr>
            <a:solidFill>
              <a:schemeClr val="accent1"/>
            </a:solidFill>
            <a:ln>
              <a:noFill/>
            </a:ln>
            <a:effectLst/>
          </c:spPr>
          <c:invertIfNegative val="0"/>
          <c:cat>
            <c:strRef>
              <c:f>'Data validation,Sort,Macros etc'!$J$13:$J$15</c:f>
              <c:strCache>
                <c:ptCount val="3"/>
                <c:pt idx="0">
                  <c:v>High</c:v>
                </c:pt>
                <c:pt idx="1">
                  <c:v>Medium</c:v>
                </c:pt>
                <c:pt idx="2">
                  <c:v>Low</c:v>
                </c:pt>
              </c:strCache>
            </c:strRef>
          </c:cat>
          <c:val>
            <c:numRef>
              <c:f>'Data validation,Sort,Macros etc'!$K$13:$K$15</c:f>
              <c:numCache>
                <c:formatCode>General</c:formatCode>
                <c:ptCount val="3"/>
                <c:pt idx="0">
                  <c:v>5</c:v>
                </c:pt>
                <c:pt idx="1">
                  <c:v>4</c:v>
                </c:pt>
                <c:pt idx="2">
                  <c:v>1</c:v>
                </c:pt>
              </c:numCache>
            </c:numRef>
          </c:val>
          <c:extLst>
            <c:ext xmlns:c16="http://schemas.microsoft.com/office/drawing/2014/chart" uri="{C3380CC4-5D6E-409C-BE32-E72D297353CC}">
              <c16:uniqueId val="{00000000-7574-40ED-967E-CE84A97D9BF3}"/>
            </c:ext>
          </c:extLst>
        </c:ser>
        <c:dLbls>
          <c:showLegendKey val="0"/>
          <c:showVal val="0"/>
          <c:showCatName val="0"/>
          <c:showSerName val="0"/>
          <c:showPercent val="0"/>
          <c:showBubbleSize val="0"/>
        </c:dLbls>
        <c:gapWidth val="219"/>
        <c:overlap val="-27"/>
        <c:axId val="2105532207"/>
        <c:axId val="2113683247"/>
      </c:barChart>
      <c:catAx>
        <c:axId val="2105532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3683247"/>
        <c:crosses val="autoZero"/>
        <c:auto val="1"/>
        <c:lblAlgn val="ctr"/>
        <c:lblOffset val="100"/>
        <c:noMultiLvlLbl val="0"/>
      </c:catAx>
      <c:valAx>
        <c:axId val="2113683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55322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[IT assignment 1.xlsm]Pivot table&amp;charts, slicers etc!PivotTable1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Average Salary by Department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table&amp;charts, slicers etc'!$B$3</c:f>
              <c:strCache>
                <c:ptCount val="1"/>
                <c:pt idx="0">
                  <c:v>Average of Salary</c:v>
                </c:pt>
              </c:strCache>
            </c:strRef>
          </c:tx>
          <c:spPr>
            <a:solidFill>
              <a:schemeClr val="accent1"/>
            </a:solidFill>
            <a:ln>
              <a:noFill/>
            </a:ln>
            <a:effectLst/>
          </c:spPr>
          <c:invertIfNegative val="0"/>
          <c:cat>
            <c:strRef>
              <c:f>'Pivot table&amp;charts, slicers etc'!$A$4:$A$8</c:f>
              <c:strCache>
                <c:ptCount val="4"/>
                <c:pt idx="0">
                  <c:v>Finance</c:v>
                </c:pt>
                <c:pt idx="1">
                  <c:v>HR</c:v>
                </c:pt>
                <c:pt idx="2">
                  <c:v>IT</c:v>
                </c:pt>
                <c:pt idx="3">
                  <c:v>Marketing</c:v>
                </c:pt>
              </c:strCache>
            </c:strRef>
          </c:cat>
          <c:val>
            <c:numRef>
              <c:f>'Pivot table&amp;charts, slicers etc'!$B$4:$B$8</c:f>
              <c:numCache>
                <c:formatCode>_ [$₹-4009]\ * #,##0.00_ ;_ [$₹-4009]\ * \-#,##0.00_ ;_ [$₹-4009]\ * "-"??_ ;_ @_ </c:formatCode>
                <c:ptCount val="4"/>
                <c:pt idx="0">
                  <c:v>58666.666666666664</c:v>
                </c:pt>
                <c:pt idx="1">
                  <c:v>46500</c:v>
                </c:pt>
                <c:pt idx="2">
                  <c:v>71000</c:v>
                </c:pt>
                <c:pt idx="3">
                  <c:v>66500</c:v>
                </c:pt>
              </c:numCache>
            </c:numRef>
          </c:val>
          <c:extLst>
            <c:ext xmlns:c16="http://schemas.microsoft.com/office/drawing/2014/chart" uri="{C3380CC4-5D6E-409C-BE32-E72D297353CC}">
              <c16:uniqueId val="{00000000-84CC-4BBC-9449-61CFFCEFD40C}"/>
            </c:ext>
          </c:extLst>
        </c:ser>
        <c:ser>
          <c:idx val="1"/>
          <c:order val="1"/>
          <c:tx>
            <c:strRef>
              <c:f>'Pivot table&amp;charts, slicers etc'!$C$3</c:f>
              <c:strCache>
                <c:ptCount val="1"/>
                <c:pt idx="0">
                  <c:v>Count of Emp ID</c:v>
                </c:pt>
              </c:strCache>
            </c:strRef>
          </c:tx>
          <c:spPr>
            <a:solidFill>
              <a:schemeClr val="accent2"/>
            </a:solidFill>
            <a:ln>
              <a:noFill/>
            </a:ln>
            <a:effectLst/>
          </c:spPr>
          <c:invertIfNegative val="0"/>
          <c:cat>
            <c:strRef>
              <c:f>'Pivot table&amp;charts, slicers etc'!$A$4:$A$8</c:f>
              <c:strCache>
                <c:ptCount val="4"/>
                <c:pt idx="0">
                  <c:v>Finance</c:v>
                </c:pt>
                <c:pt idx="1">
                  <c:v>HR</c:v>
                </c:pt>
                <c:pt idx="2">
                  <c:v>IT</c:v>
                </c:pt>
                <c:pt idx="3">
                  <c:v>Marketing</c:v>
                </c:pt>
              </c:strCache>
            </c:strRef>
          </c:cat>
          <c:val>
            <c:numRef>
              <c:f>'Pivot table&amp;charts, slicers etc'!$C$4:$C$8</c:f>
              <c:numCache>
                <c:formatCode>General</c:formatCode>
                <c:ptCount val="4"/>
                <c:pt idx="0">
                  <c:v>3</c:v>
                </c:pt>
                <c:pt idx="1">
                  <c:v>2</c:v>
                </c:pt>
                <c:pt idx="2">
                  <c:v>3</c:v>
                </c:pt>
                <c:pt idx="3">
                  <c:v>2</c:v>
                </c:pt>
              </c:numCache>
            </c:numRef>
          </c:val>
          <c:extLst>
            <c:ext xmlns:c16="http://schemas.microsoft.com/office/drawing/2014/chart" uri="{C3380CC4-5D6E-409C-BE32-E72D297353CC}">
              <c16:uniqueId val="{00000001-84CC-4BBC-9449-61CFFCEFD40C}"/>
            </c:ext>
          </c:extLst>
        </c:ser>
        <c:dLbls>
          <c:showLegendKey val="0"/>
          <c:showVal val="0"/>
          <c:showCatName val="0"/>
          <c:showSerName val="0"/>
          <c:showPercent val="0"/>
          <c:showBubbleSize val="0"/>
        </c:dLbls>
        <c:gapWidth val="219"/>
        <c:overlap val="-27"/>
        <c:axId val="2103442303"/>
        <c:axId val="1848905935"/>
      </c:barChart>
      <c:catAx>
        <c:axId val="2103442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8905935"/>
        <c:crosses val="autoZero"/>
        <c:auto val="1"/>
        <c:lblAlgn val="ctr"/>
        <c:lblOffset val="100"/>
        <c:noMultiLvlLbl val="0"/>
      </c:catAx>
      <c:valAx>
        <c:axId val="1848905935"/>
        <c:scaling>
          <c:orientation val="minMax"/>
        </c:scaling>
        <c:delete val="0"/>
        <c:axPos val="l"/>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3442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47625</xdr:colOff>
      <xdr:row>15</xdr:row>
      <xdr:rowOff>133350</xdr:rowOff>
    </xdr:from>
    <xdr:to>
      <xdr:col>13</xdr:col>
      <xdr:colOff>174625</xdr:colOff>
      <xdr:row>30</xdr:row>
      <xdr:rowOff>114300</xdr:rowOff>
    </xdr:to>
    <xdr:graphicFrame macro="">
      <xdr:nvGraphicFramePr>
        <xdr:cNvPr id="2" name="Chart 1">
          <a:extLst>
            <a:ext uri="{FF2B5EF4-FFF2-40B4-BE49-F238E27FC236}">
              <a16:creationId xmlns:a16="http://schemas.microsoft.com/office/drawing/2014/main" id="{9D9F0E71-C9E0-3B38-71D4-703A95C063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184150</xdr:colOff>
      <xdr:row>1</xdr:row>
      <xdr:rowOff>114300</xdr:rowOff>
    </xdr:from>
    <xdr:to>
      <xdr:col>12</xdr:col>
      <xdr:colOff>488950</xdr:colOff>
      <xdr:row>16</xdr:row>
      <xdr:rowOff>95250</xdr:rowOff>
    </xdr:to>
    <xdr:graphicFrame macro="">
      <xdr:nvGraphicFramePr>
        <xdr:cNvPr id="2" name="Chart 1">
          <a:extLst>
            <a:ext uri="{FF2B5EF4-FFF2-40B4-BE49-F238E27FC236}">
              <a16:creationId xmlns:a16="http://schemas.microsoft.com/office/drawing/2014/main" id="{9658FE97-CEEE-B7D9-4764-FBA4ECE9E4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50800</xdr:colOff>
      <xdr:row>9</xdr:row>
      <xdr:rowOff>171450</xdr:rowOff>
    </xdr:from>
    <xdr:to>
      <xdr:col>1</xdr:col>
      <xdr:colOff>1009650</xdr:colOff>
      <xdr:row>18</xdr:row>
      <xdr:rowOff>146050</xdr:rowOff>
    </xdr:to>
    <mc:AlternateContent xmlns:mc="http://schemas.openxmlformats.org/markup-compatibility/2006">
      <mc:Choice xmlns:a14="http://schemas.microsoft.com/office/drawing/2010/main" Requires="a14">
        <xdr:graphicFrame macro="">
          <xdr:nvGraphicFramePr>
            <xdr:cNvPr id="3" name="Department">
              <a:extLst>
                <a:ext uri="{FF2B5EF4-FFF2-40B4-BE49-F238E27FC236}">
                  <a16:creationId xmlns:a16="http://schemas.microsoft.com/office/drawing/2014/main" id="{D5AF3BF2-09FA-3E8E-6F8A-E3FE9EFAB697}"/>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50800" y="1828800"/>
              <a:ext cx="1828800" cy="1631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152400</xdr:colOff>
      <xdr:row>10</xdr:row>
      <xdr:rowOff>0</xdr:rowOff>
    </xdr:from>
    <xdr:to>
      <xdr:col>4</xdr:col>
      <xdr:colOff>374650</xdr:colOff>
      <xdr:row>18</xdr:row>
      <xdr:rowOff>146050</xdr:rowOff>
    </xdr:to>
    <mc:AlternateContent xmlns:mc="http://schemas.openxmlformats.org/markup-compatibility/2006">
      <mc:Choice xmlns:a14="http://schemas.microsoft.com/office/drawing/2010/main" Requires="a14">
        <xdr:graphicFrame macro="">
          <xdr:nvGraphicFramePr>
            <xdr:cNvPr id="4" name="Performance">
              <a:extLst>
                <a:ext uri="{FF2B5EF4-FFF2-40B4-BE49-F238E27FC236}">
                  <a16:creationId xmlns:a16="http://schemas.microsoft.com/office/drawing/2014/main" id="{0FEEE955-7716-8369-6590-4F6D94BB0829}"/>
                </a:ext>
              </a:extLst>
            </xdr:cNvPr>
            <xdr:cNvGraphicFramePr/>
          </xdr:nvGraphicFramePr>
          <xdr:xfrm>
            <a:off x="0" y="0"/>
            <a:ext cx="0" cy="0"/>
          </xdr:xfrm>
          <a:graphic>
            <a:graphicData uri="http://schemas.microsoft.com/office/drawing/2010/slicer">
              <sle:slicer xmlns:sle="http://schemas.microsoft.com/office/drawing/2010/slicer" name="Performance"/>
            </a:graphicData>
          </a:graphic>
        </xdr:graphicFrame>
      </mc:Choice>
      <mc:Fallback>
        <xdr:sp macro="" textlink="">
          <xdr:nvSpPr>
            <xdr:cNvPr id="0" name=""/>
            <xdr:cNvSpPr>
              <a:spLocks noTextEdit="1"/>
            </xdr:cNvSpPr>
          </xdr:nvSpPr>
          <xdr:spPr>
            <a:xfrm>
              <a:off x="2070100" y="1841500"/>
              <a:ext cx="1828800" cy="1619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277.643308796294" createdVersion="8" refreshedVersion="8" minRefreshableVersion="3" recordCount="10" xr:uid="{31EB772C-0EF3-41DE-BB20-6873595E6576}">
  <cacheSource type="worksheet">
    <worksheetSource name="Table1"/>
  </cacheSource>
  <cacheFields count="7">
    <cacheField name="Emp ID" numFmtId="0">
      <sharedItems containsSemiMixedTypes="0" containsString="0" containsNumber="1" containsInteger="1" minValue="101" maxValue="110"/>
    </cacheField>
    <cacheField name="Name" numFmtId="0">
      <sharedItems/>
    </cacheField>
    <cacheField name="Department" numFmtId="0">
      <sharedItems count="4">
        <s v="IT"/>
        <s v="Marketing"/>
        <s v="Finance"/>
        <s v="HR"/>
      </sharedItems>
    </cacheField>
    <cacheField name="Experience(Years)" numFmtId="1">
      <sharedItems containsSemiMixedTypes="0" containsString="0" containsNumber="1" containsInteger="1" minValue="1" maxValue="8"/>
    </cacheField>
    <cacheField name="Salary" numFmtId="167">
      <sharedItems containsSemiMixedTypes="0" containsString="0" containsNumber="1" containsInteger="1" minValue="35000" maxValue="95000"/>
    </cacheField>
    <cacheField name="Performance" numFmtId="0">
      <sharedItems count="3">
        <s v="High"/>
        <s v="Medium"/>
        <s v="Low"/>
      </sharedItems>
    </cacheField>
    <cacheField name="Salary Class" numFmtId="0">
      <sharedItems/>
    </cacheField>
  </cacheFields>
  <extLst>
    <ext xmlns:x14="http://schemas.microsoft.com/office/spreadsheetml/2009/9/main" uri="{725AE2AE-9491-48be-B2B4-4EB974FC3084}">
      <x14:pivotCacheDefinition pivotCacheId="11577379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n v="107"/>
    <s v="Arjun Verma"/>
    <x v="0"/>
    <n v="8"/>
    <n v="95000"/>
    <x v="0"/>
    <s v="High"/>
  </r>
  <r>
    <n v="108"/>
    <s v="Meera Iyer"/>
    <x v="1"/>
    <n v="7"/>
    <n v="82000"/>
    <x v="1"/>
    <s v="High"/>
  </r>
  <r>
    <n v="104"/>
    <s v="Ananya Singh"/>
    <x v="2"/>
    <n v="6"/>
    <n v="78000"/>
    <x v="0"/>
    <s v="High"/>
  </r>
  <r>
    <n v="105"/>
    <s v="Kabir Patel"/>
    <x v="0"/>
    <n v="5"/>
    <n v="72000"/>
    <x v="1"/>
    <s v="High"/>
  </r>
  <r>
    <n v="102"/>
    <s v="Diya Rao"/>
    <x v="3"/>
    <n v="4"/>
    <n v="58000"/>
    <x v="1"/>
    <s v="Low"/>
  </r>
  <r>
    <n v="109"/>
    <s v="Vivaan Kapoor"/>
    <x v="2"/>
    <n v="3"/>
    <n v="56000"/>
    <x v="1"/>
    <s v="Low"/>
  </r>
  <r>
    <n v="103"/>
    <s v="Rohan Mehta"/>
    <x v="1"/>
    <n v="3"/>
    <n v="51000"/>
    <x v="0"/>
    <s v="Low"/>
  </r>
  <r>
    <n v="110"/>
    <s v="Sana Khan"/>
    <x v="0"/>
    <n v="2"/>
    <n v="46000"/>
    <x v="0"/>
    <s v="Low"/>
  </r>
  <r>
    <n v="101"/>
    <s v="Aarav Sharma"/>
    <x v="2"/>
    <n v="2"/>
    <n v="42000"/>
    <x v="0"/>
    <s v="Low"/>
  </r>
  <r>
    <n v="106"/>
    <s v="Ishita Nair"/>
    <x v="3"/>
    <n v="1"/>
    <n v="35000"/>
    <x v="2"/>
    <s v="Low"/>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1A55ED-18D0-4BE3-B532-6614D2B71631}"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8" firstHeaderRow="0" firstDataRow="1" firstDataCol="1"/>
  <pivotFields count="7">
    <pivotField dataField="1" showAll="0"/>
    <pivotField showAll="0"/>
    <pivotField axis="axisRow" showAll="0">
      <items count="5">
        <item x="2"/>
        <item x="3"/>
        <item x="0"/>
        <item x="1"/>
        <item t="default"/>
      </items>
    </pivotField>
    <pivotField numFmtId="1" showAll="0"/>
    <pivotField dataField="1" numFmtId="167" showAll="0"/>
    <pivotField showAll="0">
      <items count="4">
        <item x="0"/>
        <item x="2"/>
        <item x="1"/>
        <item t="default"/>
      </items>
    </pivotField>
    <pivotField showAll="0"/>
  </pivotFields>
  <rowFields count="1">
    <field x="2"/>
  </rowFields>
  <rowItems count="5">
    <i>
      <x/>
    </i>
    <i>
      <x v="1"/>
    </i>
    <i>
      <x v="2"/>
    </i>
    <i>
      <x v="3"/>
    </i>
    <i t="grand">
      <x/>
    </i>
  </rowItems>
  <colFields count="1">
    <field x="-2"/>
  </colFields>
  <colItems count="2">
    <i>
      <x/>
    </i>
    <i i="1">
      <x v="1"/>
    </i>
  </colItems>
  <dataFields count="2">
    <dataField name="Average of Salary" fld="4" subtotal="average" baseField="2" baseItem="0" numFmtId="167"/>
    <dataField name="Count of Emp ID" fld="0" subtotal="count" baseField="2"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57DF79D9-E89F-4FAC-B83F-7F30BA4C0E72}" sourceName="Department">
  <pivotTables>
    <pivotTable tabId="2" name="PivotTable1"/>
  </pivotTables>
  <data>
    <tabular pivotCacheId="1157737962">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ormance" xr10:uid="{277F56C4-69B1-4D5D-B822-2E5598EBD3D7}" sourceName="Performance">
  <pivotTables>
    <pivotTable tabId="2" name="PivotTable1"/>
  </pivotTables>
  <data>
    <tabular pivotCacheId="1157737962">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E3AD3BDB-854C-4DBE-9446-9E5DE088D2C8}" cache="Slicer_Department" caption="Department" rowHeight="251883"/>
  <slicer name="Performance" xr10:uid="{65E585E0-9BBD-4C74-9737-49FEFA183523}" cache="Slicer_Performance" caption="Performance"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5FCB112-2D36-4DD8-8973-06EB2758A88E}" name="Table1" displayName="Table1" ref="A2:G12" totalsRowShown="0" headerRowDxfId="0" dataDxfId="5">
  <autoFilter ref="A2:G12" xr:uid="{05FCB112-2D36-4DD8-8973-06EB2758A88E}"/>
  <sortState xmlns:xlrd2="http://schemas.microsoft.com/office/spreadsheetml/2017/richdata2" ref="A3:F12">
    <sortCondition descending="1" ref="E3:E12"/>
  </sortState>
  <tableColumns count="7">
    <tableColumn id="1" xr3:uid="{720BD2C5-B2F3-428E-BA86-D2AA93732DD4}" name="Emp ID" dataDxfId="8"/>
    <tableColumn id="2" xr3:uid="{15BB0B1E-AE78-47B7-8243-29277F0188B2}" name="Name" dataDxfId="7"/>
    <tableColumn id="3" xr3:uid="{C94F2B02-CEAD-4C50-ADC3-178AE6F0AFF1}" name="Department" dataDxfId="6"/>
    <tableColumn id="4" xr3:uid="{1E44B384-8531-4941-9FD5-F7FC44BC835B}" name="Experience(Years)" dataDxfId="4"/>
    <tableColumn id="5" xr3:uid="{6363DBD3-2C51-4027-9218-F989D0206803}" name="Salary" dataDxfId="2"/>
    <tableColumn id="6" xr3:uid="{9CE79CF6-716A-4074-AAD8-7DC898CA84FB}" name="Performance" dataDxfId="3"/>
    <tableColumn id="7" xr3:uid="{7F4DC0E6-8346-4B53-84BC-B87B51F9B807}" name="Salary Class" dataDxfId="1">
      <calculatedColumnFormula>IF(E3&gt;=60000,"High","Low")</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68715-A482-40C8-88F6-6E66844D59C8}">
  <sheetPr codeName="Sheet1"/>
  <dimension ref="A1:P15"/>
  <sheetViews>
    <sheetView tabSelected="1" topLeftCell="B1" workbookViewId="0">
      <selection activeCell="E23" sqref="E23"/>
    </sheetView>
  </sheetViews>
  <sheetFormatPr defaultRowHeight="14.5" x14ac:dyDescent="0.35"/>
  <cols>
    <col min="1" max="1" width="13.1796875" bestFit="1" customWidth="1"/>
    <col min="2" max="2" width="12.90625" bestFit="1" customWidth="1"/>
    <col min="3" max="3" width="20" bestFit="1" customWidth="1"/>
    <col min="4" max="4" width="28.6328125" bestFit="1" customWidth="1"/>
    <col min="5" max="5" width="18.54296875" bestFit="1" customWidth="1"/>
    <col min="6" max="6" width="21.26953125" bestFit="1" customWidth="1"/>
    <col min="7" max="7" width="20.453125" bestFit="1" customWidth="1"/>
    <col min="10" max="10" width="14.54296875" bestFit="1" customWidth="1"/>
    <col min="11" max="11" width="15.36328125" customWidth="1"/>
  </cols>
  <sheetData>
    <row r="1" spans="1:16" ht="23.5" x14ac:dyDescent="0.55000000000000004">
      <c r="A1" s="7" t="s">
        <v>26</v>
      </c>
      <c r="B1" s="6"/>
      <c r="C1" s="6"/>
      <c r="D1" s="6"/>
      <c r="E1" s="6"/>
      <c r="F1" s="6"/>
      <c r="G1" s="6"/>
      <c r="H1" s="6"/>
      <c r="I1" s="6"/>
      <c r="J1" s="6"/>
      <c r="K1" s="6"/>
      <c r="L1" s="6"/>
      <c r="M1" s="6"/>
      <c r="N1" s="6"/>
      <c r="O1" s="6"/>
      <c r="P1" s="6"/>
    </row>
    <row r="2" spans="1:16" ht="18" x14ac:dyDescent="0.4">
      <c r="A2" s="13" t="s">
        <v>0</v>
      </c>
      <c r="B2" s="14" t="s">
        <v>1</v>
      </c>
      <c r="C2" s="14" t="s">
        <v>2</v>
      </c>
      <c r="D2" s="14" t="s">
        <v>22</v>
      </c>
      <c r="E2" s="15" t="s">
        <v>3</v>
      </c>
      <c r="F2" s="14" t="s">
        <v>4</v>
      </c>
      <c r="G2" s="14" t="s">
        <v>25</v>
      </c>
    </row>
    <row r="3" spans="1:16" ht="18" x14ac:dyDescent="0.4">
      <c r="A3" s="2">
        <v>107</v>
      </c>
      <c r="B3" s="2" t="s">
        <v>18</v>
      </c>
      <c r="C3" s="16" t="s">
        <v>15</v>
      </c>
      <c r="D3" s="17">
        <v>8</v>
      </c>
      <c r="E3" s="18">
        <v>95000</v>
      </c>
      <c r="F3" s="16" t="s">
        <v>7</v>
      </c>
      <c r="G3" s="16" t="str">
        <f t="shared" ref="G3:G12" si="0">IF(E3&gt;=60000,"High","Low")</f>
        <v>High</v>
      </c>
      <c r="H3" s="16"/>
      <c r="I3" s="16"/>
    </row>
    <row r="4" spans="1:16" x14ac:dyDescent="0.35">
      <c r="A4" s="2">
        <v>108</v>
      </c>
      <c r="B4" s="2" t="s">
        <v>19</v>
      </c>
      <c r="C4" s="2" t="s">
        <v>12</v>
      </c>
      <c r="D4" s="3">
        <v>7</v>
      </c>
      <c r="E4" s="4">
        <v>82000</v>
      </c>
      <c r="F4" s="2" t="s">
        <v>10</v>
      </c>
      <c r="G4" s="2" t="str">
        <f t="shared" si="0"/>
        <v>High</v>
      </c>
      <c r="J4" s="1" t="s">
        <v>23</v>
      </c>
      <c r="K4">
        <f>AVERAGE(Table1[Salary])</f>
        <v>61500</v>
      </c>
    </row>
    <row r="5" spans="1:16" x14ac:dyDescent="0.35">
      <c r="A5" s="2">
        <v>104</v>
      </c>
      <c r="B5" s="2" t="s">
        <v>13</v>
      </c>
      <c r="C5" s="2" t="s">
        <v>6</v>
      </c>
      <c r="D5" s="3">
        <v>6</v>
      </c>
      <c r="E5" s="4">
        <v>78000</v>
      </c>
      <c r="F5" s="2" t="s">
        <v>7</v>
      </c>
      <c r="G5" s="2" t="str">
        <f t="shared" si="0"/>
        <v>High</v>
      </c>
      <c r="J5" s="1" t="s">
        <v>24</v>
      </c>
      <c r="K5">
        <f>MAX(Table1[Salary])</f>
        <v>95000</v>
      </c>
    </row>
    <row r="6" spans="1:16" x14ac:dyDescent="0.35">
      <c r="A6" s="2">
        <v>105</v>
      </c>
      <c r="B6" s="2" t="s">
        <v>14</v>
      </c>
      <c r="C6" s="2" t="s">
        <v>15</v>
      </c>
      <c r="D6" s="3">
        <v>5</v>
      </c>
      <c r="E6" s="4">
        <v>72000</v>
      </c>
      <c r="F6" s="2" t="s">
        <v>10</v>
      </c>
      <c r="G6" s="2" t="str">
        <f t="shared" si="0"/>
        <v>High</v>
      </c>
    </row>
    <row r="7" spans="1:16" x14ac:dyDescent="0.35">
      <c r="A7" s="2">
        <v>102</v>
      </c>
      <c r="B7" s="2" t="s">
        <v>8</v>
      </c>
      <c r="C7" s="2" t="s">
        <v>9</v>
      </c>
      <c r="D7" s="3">
        <v>4</v>
      </c>
      <c r="E7" s="4">
        <v>58000</v>
      </c>
      <c r="F7" s="2" t="s">
        <v>10</v>
      </c>
      <c r="G7" s="2" t="str">
        <f t="shared" si="0"/>
        <v>Low</v>
      </c>
    </row>
    <row r="8" spans="1:16" x14ac:dyDescent="0.35">
      <c r="A8" s="2">
        <v>109</v>
      </c>
      <c r="B8" s="2" t="s">
        <v>20</v>
      </c>
      <c r="C8" s="2" t="s">
        <v>6</v>
      </c>
      <c r="D8" s="3">
        <v>3</v>
      </c>
      <c r="E8" s="4">
        <v>56000</v>
      </c>
      <c r="F8" s="2" t="s">
        <v>10</v>
      </c>
      <c r="G8" s="2" t="str">
        <f t="shared" si="0"/>
        <v>Low</v>
      </c>
    </row>
    <row r="9" spans="1:16" x14ac:dyDescent="0.35">
      <c r="A9" s="2">
        <v>103</v>
      </c>
      <c r="B9" s="2" t="s">
        <v>11</v>
      </c>
      <c r="C9" s="2" t="s">
        <v>12</v>
      </c>
      <c r="D9" s="3">
        <v>3</v>
      </c>
      <c r="E9" s="4">
        <v>51000</v>
      </c>
      <c r="F9" s="2" t="s">
        <v>7</v>
      </c>
      <c r="G9" s="2" t="str">
        <f t="shared" si="0"/>
        <v>Low</v>
      </c>
    </row>
    <row r="10" spans="1:16" x14ac:dyDescent="0.35">
      <c r="A10" s="2">
        <v>110</v>
      </c>
      <c r="B10" s="2" t="s">
        <v>21</v>
      </c>
      <c r="C10" s="2" t="s">
        <v>15</v>
      </c>
      <c r="D10" s="3">
        <v>2</v>
      </c>
      <c r="E10" s="4">
        <v>46000</v>
      </c>
      <c r="F10" s="2" t="s">
        <v>7</v>
      </c>
      <c r="G10" s="2" t="str">
        <f t="shared" si="0"/>
        <v>Low</v>
      </c>
    </row>
    <row r="11" spans="1:16" x14ac:dyDescent="0.35">
      <c r="A11" s="2">
        <v>101</v>
      </c>
      <c r="B11" s="2" t="s">
        <v>5</v>
      </c>
      <c r="C11" s="2" t="s">
        <v>6</v>
      </c>
      <c r="D11" s="3">
        <v>2</v>
      </c>
      <c r="E11" s="4">
        <v>42000</v>
      </c>
      <c r="F11" s="2" t="s">
        <v>7</v>
      </c>
      <c r="G11" s="2" t="str">
        <f t="shared" si="0"/>
        <v>Low</v>
      </c>
      <c r="J11" s="12" t="s">
        <v>32</v>
      </c>
      <c r="K11" s="5"/>
    </row>
    <row r="12" spans="1:16" x14ac:dyDescent="0.35">
      <c r="A12" s="2">
        <v>106</v>
      </c>
      <c r="B12" s="2" t="s">
        <v>16</v>
      </c>
      <c r="C12" s="2" t="s">
        <v>9</v>
      </c>
      <c r="D12" s="3">
        <v>1</v>
      </c>
      <c r="E12" s="4">
        <v>35000</v>
      </c>
      <c r="F12" s="2" t="s">
        <v>17</v>
      </c>
      <c r="G12" s="2" t="str">
        <f t="shared" si="0"/>
        <v>Low</v>
      </c>
      <c r="J12" t="s">
        <v>4</v>
      </c>
      <c r="K12" t="s">
        <v>31</v>
      </c>
    </row>
    <row r="13" spans="1:16" x14ac:dyDescent="0.35">
      <c r="J13" t="s">
        <v>7</v>
      </c>
      <c r="K13">
        <f>COUNTIF(Table1[Performance],J13)</f>
        <v>5</v>
      </c>
    </row>
    <row r="14" spans="1:16" x14ac:dyDescent="0.35">
      <c r="J14" t="s">
        <v>10</v>
      </c>
      <c r="K14">
        <f>COUNTIF(Table1[Performance],J14)</f>
        <v>4</v>
      </c>
    </row>
    <row r="15" spans="1:16" x14ac:dyDescent="0.35">
      <c r="J15" t="s">
        <v>17</v>
      </c>
      <c r="K15">
        <f>COUNTIF(Table1[Performance],J15)</f>
        <v>1</v>
      </c>
    </row>
  </sheetData>
  <sheetProtection algorithmName="SHA-512" hashValue="OB82mStaJ1oWqYdqFlQc4yApYmc/ug3hKJaZkLOhsI66CGoZYuT+TnHTWTo9WEgvKave0s3iidU+1SKEk+nZBQ==" saltValue="oZHrxRbddxwIa/N4PoHadw==" spinCount="100000" sheet="1" sort="0" autoFilter="0" pivotTables="0"/>
  <mergeCells count="2">
    <mergeCell ref="A1:P1"/>
    <mergeCell ref="J11:K11"/>
  </mergeCells>
  <dataValidations count="1">
    <dataValidation type="list" allowBlank="1" showInputMessage="1" showErrorMessage="1" errorTitle="Not Applicable" error="Only departments!" promptTitle="Department" prompt="Please enter your department" sqref="C2:C12" xr:uid="{0F33ED34-A3A7-4D57-8A44-6133ABA4E963}">
      <formula1>$C$3:$C$12</formula1>
    </dataValidation>
  </dataValidations>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64BB0-6C7C-4EDC-B874-FE293BAD4154}">
  <sheetPr codeName="Sheet2"/>
  <dimension ref="A3:C8"/>
  <sheetViews>
    <sheetView workbookViewId="0">
      <selection activeCell="I27" sqref="I27"/>
    </sheetView>
  </sheetViews>
  <sheetFormatPr defaultRowHeight="14.5" x14ac:dyDescent="0.35"/>
  <cols>
    <col min="1" max="1" width="12.453125" bestFit="1" customWidth="1"/>
    <col min="2" max="2" width="15" bestFit="1" customWidth="1"/>
    <col min="3" max="3" width="14.26953125" bestFit="1" customWidth="1"/>
  </cols>
  <sheetData>
    <row r="3" spans="1:3" x14ac:dyDescent="0.35">
      <c r="A3" s="8" t="s">
        <v>27</v>
      </c>
      <c r="B3" t="s">
        <v>29</v>
      </c>
      <c r="C3" t="s">
        <v>30</v>
      </c>
    </row>
    <row r="4" spans="1:3" x14ac:dyDescent="0.35">
      <c r="A4" s="9" t="s">
        <v>6</v>
      </c>
      <c r="B4" s="10">
        <v>58666.666666666664</v>
      </c>
      <c r="C4" s="11">
        <v>3</v>
      </c>
    </row>
    <row r="5" spans="1:3" x14ac:dyDescent="0.35">
      <c r="A5" s="9" t="s">
        <v>9</v>
      </c>
      <c r="B5" s="10">
        <v>46500</v>
      </c>
      <c r="C5" s="11">
        <v>2</v>
      </c>
    </row>
    <row r="6" spans="1:3" x14ac:dyDescent="0.35">
      <c r="A6" s="9" t="s">
        <v>15</v>
      </c>
      <c r="B6" s="10">
        <v>71000</v>
      </c>
      <c r="C6" s="11">
        <v>3</v>
      </c>
    </row>
    <row r="7" spans="1:3" x14ac:dyDescent="0.35">
      <c r="A7" s="9" t="s">
        <v>12</v>
      </c>
      <c r="B7" s="10">
        <v>66500</v>
      </c>
      <c r="C7" s="11">
        <v>2</v>
      </c>
    </row>
    <row r="8" spans="1:3" x14ac:dyDescent="0.35">
      <c r="A8" s="9" t="s">
        <v>28</v>
      </c>
      <c r="B8" s="10">
        <v>61500</v>
      </c>
      <c r="C8" s="11">
        <v>10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 validation,Sort,Macros etc</vt:lpstr>
      <vt:lpstr>Pivot table&amp;charts, slicers etc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2601061 Mukkamala Arthika Sahiti</dc:creator>
  <cp:lastModifiedBy>2601061 Mukkamala Arthika Sahiti</cp:lastModifiedBy>
  <dcterms:created xsi:type="dcterms:W3CDTF">2026-09-12T09:15:15Z</dcterms:created>
  <dcterms:modified xsi:type="dcterms:W3CDTF">2026-09-12T10:50:16Z</dcterms:modified>
</cp:coreProperties>
</file>